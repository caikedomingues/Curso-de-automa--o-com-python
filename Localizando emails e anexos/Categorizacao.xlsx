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xr:revisionPtr revIDLastSave="0" documentId="8_{D6D736D4-9751-480A-9BB5-27ECA657E5D4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Planilha1" sheetId="1" r:id="rId1"/>
    <sheet name="Planilha2" sheetId="2" r:id="rId2"/>
    <sheet name="Planilha3" sheetId="3" r:id="rId3"/>
    <sheet name="Planilha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H2" i="2"/>
  <c r="G4" i="3"/>
  <c r="G3" i="3"/>
  <c r="F2" i="4"/>
  <c r="F3" i="4"/>
  <c r="F4" i="4"/>
  <c r="F5" i="4"/>
  <c r="F6" i="4"/>
  <c r="F7" i="4"/>
  <c r="F8" i="4"/>
  <c r="F9" i="4"/>
  <c r="F10" i="4"/>
  <c r="G2" i="4"/>
  <c r="F2" i="3"/>
  <c r="F10" i="3"/>
  <c r="F9" i="3"/>
  <c r="F8" i="3"/>
  <c r="F7" i="3"/>
  <c r="F6" i="3"/>
  <c r="F5" i="3"/>
  <c r="F4" i="3"/>
  <c r="F3" i="3"/>
  <c r="H10" i="2"/>
  <c r="H9" i="2"/>
  <c r="H8" i="2"/>
  <c r="H7" i="2"/>
  <c r="H6" i="2"/>
  <c r="H5" i="2"/>
  <c r="H4" i="2"/>
  <c r="H3" i="2"/>
  <c r="I5" i="1"/>
  <c r="I6" i="1"/>
  <c r="I7" i="1"/>
  <c r="I8" i="1"/>
  <c r="I9" i="1"/>
  <c r="I10" i="1"/>
  <c r="I4" i="1"/>
  <c r="I3" i="1"/>
  <c r="I2" i="1"/>
  <c r="G2" i="1"/>
  <c r="F10" i="2"/>
  <c r="F9" i="2"/>
  <c r="F8" i="2"/>
  <c r="F7" i="2"/>
  <c r="F6" i="2"/>
  <c r="F5" i="2"/>
  <c r="F4" i="2"/>
  <c r="F3" i="2"/>
  <c r="F2" i="2"/>
  <c r="F6" i="1"/>
  <c r="F4" i="1"/>
  <c r="F3" i="1"/>
  <c r="F5" i="1"/>
  <c r="F7" i="1"/>
  <c r="F8" i="1"/>
  <c r="F9" i="1"/>
  <c r="F10" i="1"/>
  <c r="F2" i="1"/>
  <c r="G3" i="4" l="1"/>
  <c r="G5" i="3"/>
  <c r="G6" i="3" s="1"/>
  <c r="G7" i="3" s="1"/>
  <c r="G8" i="3" s="1"/>
  <c r="G9" i="3" s="1"/>
  <c r="G10" i="3" s="1"/>
  <c r="G2" i="3"/>
  <c r="H4" i="3"/>
  <c r="H5" i="3"/>
  <c r="H6" i="3"/>
  <c r="H7" i="3"/>
  <c r="H9" i="3"/>
  <c r="H10" i="3"/>
  <c r="I3" i="2"/>
  <c r="I4" i="2" s="1"/>
  <c r="I5" i="2" s="1"/>
  <c r="I6" i="2" s="1"/>
  <c r="I7" i="2" s="1"/>
  <c r="I8" i="2" s="1"/>
  <c r="I9" i="2" s="1"/>
  <c r="I10" i="2" s="1"/>
  <c r="I2" i="2"/>
  <c r="G3" i="1"/>
  <c r="G4" i="1" s="1"/>
  <c r="G5" i="1" s="1"/>
  <c r="G6" i="1" s="1"/>
  <c r="G7" i="1" s="1"/>
  <c r="G8" i="1" s="1"/>
  <c r="G9" i="1" s="1"/>
  <c r="G10" i="1" s="1"/>
  <c r="G3" i="2"/>
  <c r="G4" i="2" s="1"/>
  <c r="G5" i="2" s="1"/>
  <c r="G6" i="2" s="1"/>
  <c r="G7" i="2" s="1"/>
  <c r="G8" i="2" s="1"/>
  <c r="G9" i="2" s="1"/>
  <c r="G10" i="2" s="1"/>
  <c r="G2" i="2"/>
  <c r="H3" i="3" l="1"/>
  <c r="H2" i="3"/>
  <c r="H8" i="3"/>
  <c r="H4" i="1"/>
  <c r="H5" i="1"/>
  <c r="H6" i="1"/>
  <c r="H7" i="1"/>
  <c r="H8" i="1"/>
  <c r="H9" i="1"/>
  <c r="H10" i="1"/>
  <c r="H3" i="1"/>
  <c r="H2" i="1"/>
  <c r="I4" i="3" l="1"/>
  <c r="I5" i="3" s="1"/>
  <c r="I6" i="3" s="1"/>
  <c r="I7" i="3" s="1"/>
  <c r="I8" i="3" s="1"/>
  <c r="I9" i="3" s="1"/>
  <c r="I10" i="3" s="1"/>
  <c r="I2" i="3"/>
  <c r="G4" i="4"/>
  <c r="G5" i="4"/>
  <c r="G6" i="4"/>
  <c r="G7" i="4"/>
  <c r="G8" i="4"/>
  <c r="G9" i="4"/>
  <c r="G10" i="4"/>
  <c r="H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I2" i="4"/>
</calcChain>
</file>

<file path=xl/sharedStrings.xml><?xml version="1.0" encoding="utf-8"?>
<sst xmlns="http://schemas.openxmlformats.org/spreadsheetml/2006/main" count="88" uniqueCount="35">
  <si>
    <t>ITEM</t>
  </si>
  <si>
    <t>VALOR DA COMPRA</t>
  </si>
  <si>
    <t>PREÇO DE VENDA</t>
  </si>
  <si>
    <t>QUANT. VENDIDA (ANO)</t>
  </si>
  <si>
    <t>LUCRO</t>
  </si>
  <si>
    <t>ACUMULADO</t>
  </si>
  <si>
    <r>
      <rPr>
        <b/>
        <sz val="14"/>
        <color rgb="FF000000"/>
        <rFont val="Aptos Narrow"/>
      </rPr>
      <t>PORCENT</t>
    </r>
    <r>
      <rPr>
        <b/>
        <strike/>
        <sz val="14"/>
        <color rgb="FF000000"/>
        <rFont val="Aptos Narrow"/>
      </rPr>
      <t>%</t>
    </r>
  </si>
  <si>
    <t>%ACUMULADO</t>
  </si>
  <si>
    <t>CALÇA TAMANHO G</t>
  </si>
  <si>
    <t>BERMUDA TAMANHO M</t>
  </si>
  <si>
    <t>BERMUDA TAMANHO G</t>
  </si>
  <si>
    <t>CAMISA SIMPLES TAMANHO G</t>
  </si>
  <si>
    <t>CALÇA TAMANHO P</t>
  </si>
  <si>
    <t>CALÇA TAMANHO M</t>
  </si>
  <si>
    <t>CAMISETA SIMPLES TAMANHO M</t>
  </si>
  <si>
    <t>BERMUDA TAMANHO P</t>
  </si>
  <si>
    <t>CAMISETA SIMPLES TAMANHO P</t>
  </si>
  <si>
    <t>CATEGORIAS</t>
  </si>
  <si>
    <t>A</t>
  </si>
  <si>
    <t>B</t>
  </si>
  <si>
    <t>C</t>
  </si>
  <si>
    <t>CUSTO DE PRODUÇÃO</t>
  </si>
  <si>
    <t>QUANT. VENDAS (DIA)</t>
  </si>
  <si>
    <t>%UNIT</t>
  </si>
  <si>
    <t>%ACUM</t>
  </si>
  <si>
    <t>CATEGORIA</t>
  </si>
  <si>
    <t>SUCO DE LARANJA</t>
  </si>
  <si>
    <t>SUCO DE ABACAXI</t>
  </si>
  <si>
    <t>SUCO DE UVA</t>
  </si>
  <si>
    <t>SUCO DE GOIABA</t>
  </si>
  <si>
    <t>SUCO DE LIMÃO</t>
  </si>
  <si>
    <t>SUCO DE MORANGO</t>
  </si>
  <si>
    <t>SUCO DE CAJU</t>
  </si>
  <si>
    <t>SUCO DE ACEROLA</t>
  </si>
  <si>
    <t>SUCO DE 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</si>
</sst>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</font>
    <font>
      <b/>
      <strike/>
      <sz val="14"/>
      <color rgb="FF000000"/>
      <name val="Aptos Narrow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2" xfId="0" applyFont="1" applyFill="1" applyBorder="1"/>
    <xf numFmtId="164" fontId="2" fillId="2" borderId="2" xfId="0" applyNumberFormat="1" applyFont="1" applyFill="1" applyBorder="1"/>
    <xf numFmtId="0" fontId="1" fillId="4" borderId="3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164" fontId="2" fillId="5" borderId="1" xfId="0" applyNumberFormat="1" applyFont="1" applyFill="1" applyBorder="1"/>
    <xf numFmtId="164" fontId="2" fillId="3" borderId="1" xfId="0" applyNumberFormat="1" applyFont="1" applyFill="1" applyBorder="1"/>
    <xf numFmtId="0" fontId="2" fillId="5" borderId="1" xfId="0" applyFont="1" applyFill="1" applyBorder="1"/>
    <xf numFmtId="164" fontId="2" fillId="6" borderId="3" xfId="0" applyNumberFormat="1" applyFont="1" applyFill="1" applyBorder="1"/>
    <xf numFmtId="164" fontId="2" fillId="7" borderId="1" xfId="0" applyNumberFormat="1" applyFont="1" applyFill="1" applyBorder="1"/>
    <xf numFmtId="0" fontId="2" fillId="2" borderId="4" xfId="0" applyFont="1" applyFill="1" applyBorder="1"/>
    <xf numFmtId="164" fontId="2" fillId="7" borderId="3" xfId="0" applyNumberFormat="1" applyFont="1" applyFill="1" applyBorder="1"/>
    <xf numFmtId="10" fontId="2" fillId="8" borderId="1" xfId="0" applyNumberFormat="1" applyFont="1" applyFill="1" applyBorder="1"/>
    <xf numFmtId="0" fontId="2" fillId="8" borderId="1" xfId="0" applyFont="1" applyFill="1" applyBorder="1"/>
    <xf numFmtId="164" fontId="2" fillId="6" borderId="1" xfId="0" applyNumberFormat="1" applyFont="1" applyFill="1" applyBorder="1"/>
    <xf numFmtId="10" fontId="2" fillId="6" borderId="1" xfId="0" applyNumberFormat="1" applyFont="1" applyFill="1" applyBorder="1"/>
    <xf numFmtId="0" fontId="3" fillId="2" borderId="3" xfId="0" applyFont="1" applyFill="1" applyBorder="1"/>
    <xf numFmtId="10" fontId="2" fillId="8" borderId="3" xfId="0" applyNumberFormat="1" applyFont="1" applyFill="1" applyBorder="1"/>
    <xf numFmtId="10" fontId="2" fillId="8" borderId="4" xfId="0" applyNumberFormat="1" applyFont="1" applyFill="1" applyBorder="1"/>
    <xf numFmtId="10" fontId="2" fillId="6" borderId="6" xfId="0" applyNumberFormat="1" applyFont="1" applyFill="1" applyBorder="1"/>
    <xf numFmtId="10" fontId="2" fillId="9" borderId="0" xfId="0" applyNumberFormat="1" applyFont="1" applyFill="1"/>
    <xf numFmtId="10" fontId="2" fillId="6" borderId="3" xfId="0" applyNumberFormat="1" applyFont="1" applyFill="1" applyBorder="1"/>
    <xf numFmtId="10" fontId="2" fillId="6" borderId="7" xfId="0" applyNumberFormat="1" applyFont="1" applyFill="1" applyBorder="1"/>
    <xf numFmtId="0" fontId="2" fillId="2" borderId="1" xfId="0" applyFont="1" applyFill="1" applyBorder="1"/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164" fontId="0" fillId="0" borderId="0" xfId="0" applyNumberFormat="1"/>
    <xf numFmtId="0" fontId="1" fillId="3" borderId="1" xfId="0" applyFont="1" applyFill="1" applyBorder="1"/>
    <xf numFmtId="164" fontId="1" fillId="3" borderId="1" xfId="0" applyNumberFormat="1" applyFont="1" applyFill="1" applyBorder="1"/>
    <xf numFmtId="0" fontId="1" fillId="3" borderId="8" xfId="0" applyFont="1" applyFill="1" applyBorder="1"/>
    <xf numFmtId="164" fontId="1" fillId="3" borderId="8" xfId="0" applyNumberFormat="1" applyFont="1" applyFill="1" applyBorder="1"/>
    <xf numFmtId="0" fontId="1" fillId="13" borderId="1" xfId="0" applyFont="1" applyFill="1" applyBorder="1"/>
    <xf numFmtId="0" fontId="1" fillId="3" borderId="9" xfId="0" applyFont="1" applyFill="1" applyBorder="1"/>
    <xf numFmtId="0" fontId="1" fillId="3" borderId="3" xfId="0" applyFont="1" applyFill="1" applyBorder="1"/>
    <xf numFmtId="0" fontId="1" fillId="13" borderId="2" xfId="0" applyFont="1" applyFill="1" applyBorder="1"/>
    <xf numFmtId="164" fontId="1" fillId="6" borderId="1" xfId="0" applyNumberFormat="1" applyFont="1" applyFill="1" applyBorder="1"/>
    <xf numFmtId="0" fontId="1" fillId="13" borderId="4" xfId="0" applyFont="1" applyFill="1" applyBorder="1"/>
    <xf numFmtId="164" fontId="1" fillId="6" borderId="3" xfId="0" applyNumberFormat="1" applyFont="1" applyFill="1" applyBorder="1"/>
    <xf numFmtId="0" fontId="1" fillId="10" borderId="1" xfId="0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VENDAS</a:t>
            </a:r>
          </a:p>
        </c:rich>
      </c:tx>
      <c:layout>
        <c:manualLayout>
          <c:xMode val="edge"/>
          <c:yMode val="edge"/>
          <c:x val="0.35030741410488242"/>
          <c:y val="3.98550724637681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Planilha2!$C$1</c:f>
              <c:strCache>
                <c:ptCount val="1"/>
                <c:pt idx="0">
                  <c:v>VALOR DA COMPRA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Planilha2!$B$2:$B$10</c:f>
              <c:strCache>
                <c:ptCount val="9"/>
                <c:pt idx="0">
                  <c:v>CALÇA TAMANHO G</c:v>
                </c:pt>
                <c:pt idx="1">
                  <c:v>BERMUDA TAMANHO M</c:v>
                </c:pt>
                <c:pt idx="2">
                  <c:v>BERMUDA TAMANHO G</c:v>
                </c:pt>
                <c:pt idx="3">
                  <c:v>CAMISA SIMPLES TAMANHO G</c:v>
                </c:pt>
                <c:pt idx="4">
                  <c:v>CALÇA TAMANHO P</c:v>
                </c:pt>
                <c:pt idx="5">
                  <c:v>CALÇA TAMANHO M</c:v>
                </c:pt>
                <c:pt idx="6">
                  <c:v>CAMISETA SIMPLES TAMANHO M</c:v>
                </c:pt>
                <c:pt idx="7">
                  <c:v>BERMUDA TAMANHO P</c:v>
                </c:pt>
                <c:pt idx="8">
                  <c:v>CAMISETA SIMPLES TAMANHO P</c:v>
                </c:pt>
              </c:strCache>
            </c:strRef>
          </c:cat>
          <c:val>
            <c:numRef>
              <c:f>Planilha2!$C$2:$C$10</c:f>
              <c:numCache>
                <c:formatCode>"R$"\ #,##0.00</c:formatCode>
                <c:ptCount val="9"/>
                <c:pt idx="0">
                  <c:v>60</c:v>
                </c:pt>
                <c:pt idx="1">
                  <c:v>44</c:v>
                </c:pt>
                <c:pt idx="2">
                  <c:v>40</c:v>
                </c:pt>
                <c:pt idx="3">
                  <c:v>28</c:v>
                </c:pt>
                <c:pt idx="4">
                  <c:v>72.599999999999994</c:v>
                </c:pt>
                <c:pt idx="5">
                  <c:v>66</c:v>
                </c:pt>
                <c:pt idx="6">
                  <c:v>30.8</c:v>
                </c:pt>
                <c:pt idx="7">
                  <c:v>48.4</c:v>
                </c:pt>
                <c:pt idx="8">
                  <c:v>33.880000000000003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9-4445-8B59-6B045C7F8D9D}"/>
            </c:ext>
          </c:extLst>
        </c:ser>
        <c:ser>
          <c:idx val="1"/>
          <c:order val="1"/>
          <c:tx>
            <c:strRef>
              <c:f>Planilha2!$D$1</c:f>
              <c:strCache>
                <c:ptCount val="1"/>
                <c:pt idx="0">
                  <c:v>PREÇO DE VENDA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Planilha2!$B$2:$B$10</c:f>
              <c:strCache>
                <c:ptCount val="9"/>
                <c:pt idx="0">
                  <c:v>CALÇA TAMANHO G</c:v>
                </c:pt>
                <c:pt idx="1">
                  <c:v>BERMUDA TAMANHO M</c:v>
                </c:pt>
                <c:pt idx="2">
                  <c:v>BERMUDA TAMANHO G</c:v>
                </c:pt>
                <c:pt idx="3">
                  <c:v>CAMISA SIMPLES TAMANHO G</c:v>
                </c:pt>
                <c:pt idx="4">
                  <c:v>CALÇA TAMANHO P</c:v>
                </c:pt>
                <c:pt idx="5">
                  <c:v>CALÇA TAMANHO M</c:v>
                </c:pt>
                <c:pt idx="6">
                  <c:v>CAMISETA SIMPLES TAMANHO M</c:v>
                </c:pt>
                <c:pt idx="7">
                  <c:v>BERMUDA TAMANHO P</c:v>
                </c:pt>
                <c:pt idx="8">
                  <c:v>CAMISETA SIMPLES TAMANHO P</c:v>
                </c:pt>
              </c:strCache>
            </c:strRef>
          </c:cat>
          <c:val>
            <c:numRef>
              <c:f>Planilha2!$D$2:$D$10</c:f>
              <c:numCache>
                <c:formatCode>"R$"\ #,##0.00</c:formatCode>
                <c:ptCount val="9"/>
                <c:pt idx="0">
                  <c:v>108</c:v>
                </c:pt>
                <c:pt idx="1">
                  <c:v>79.2</c:v>
                </c:pt>
                <c:pt idx="2">
                  <c:v>72</c:v>
                </c:pt>
                <c:pt idx="3">
                  <c:v>50.4</c:v>
                </c:pt>
                <c:pt idx="4">
                  <c:v>130.68</c:v>
                </c:pt>
                <c:pt idx="5">
                  <c:v>118.8</c:v>
                </c:pt>
                <c:pt idx="6">
                  <c:v>55.44</c:v>
                </c:pt>
                <c:pt idx="7">
                  <c:v>87.12</c:v>
                </c:pt>
                <c:pt idx="8">
                  <c:v>60.98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19-4445-8B59-6B045C7F8D9D}"/>
            </c:ext>
          </c:extLst>
        </c:ser>
        <c:ser>
          <c:idx val="2"/>
          <c:order val="2"/>
          <c:tx>
            <c:strRef>
              <c:f>Planilha2!$E$1</c:f>
              <c:strCache>
                <c:ptCount val="1"/>
                <c:pt idx="0">
                  <c:v>QUANT. VENDIDA (ANO)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Planilha2!$B$2:$B$10</c:f>
              <c:strCache>
                <c:ptCount val="9"/>
                <c:pt idx="0">
                  <c:v>CALÇA TAMANHO G</c:v>
                </c:pt>
                <c:pt idx="1">
                  <c:v>BERMUDA TAMANHO M</c:v>
                </c:pt>
                <c:pt idx="2">
                  <c:v>BERMUDA TAMANHO G</c:v>
                </c:pt>
                <c:pt idx="3">
                  <c:v>CAMISA SIMPLES TAMANHO G</c:v>
                </c:pt>
                <c:pt idx="4">
                  <c:v>CALÇA TAMANHO P</c:v>
                </c:pt>
                <c:pt idx="5">
                  <c:v>CALÇA TAMANHO M</c:v>
                </c:pt>
                <c:pt idx="6">
                  <c:v>CAMISETA SIMPLES TAMANHO M</c:v>
                </c:pt>
                <c:pt idx="7">
                  <c:v>BERMUDA TAMANHO P</c:v>
                </c:pt>
                <c:pt idx="8">
                  <c:v>CAMISETA SIMPLES TAMANHO P</c:v>
                </c:pt>
              </c:strCache>
            </c:strRef>
          </c:cat>
          <c:val>
            <c:numRef>
              <c:f>Planilha2!$E$2:$E$10</c:f>
              <c:numCache>
                <c:formatCode>General</c:formatCode>
                <c:ptCount val="9"/>
                <c:pt idx="0">
                  <c:v>17</c:v>
                </c:pt>
                <c:pt idx="1">
                  <c:v>15</c:v>
                </c:pt>
                <c:pt idx="2">
                  <c:v>16</c:v>
                </c:pt>
                <c:pt idx="3">
                  <c:v>12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19-4445-8B59-6B045C7F8D9D}"/>
            </c:ext>
          </c:extLst>
        </c:ser>
        <c:ser>
          <c:idx val="3"/>
          <c:order val="3"/>
          <c:tx>
            <c:strRef>
              <c:f>Planilha2!$F$1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Planilha2!$B$2:$B$10</c:f>
              <c:strCache>
                <c:ptCount val="9"/>
                <c:pt idx="0">
                  <c:v>CALÇA TAMANHO G</c:v>
                </c:pt>
                <c:pt idx="1">
                  <c:v>BERMUDA TAMANHO M</c:v>
                </c:pt>
                <c:pt idx="2">
                  <c:v>BERMUDA TAMANHO G</c:v>
                </c:pt>
                <c:pt idx="3">
                  <c:v>CAMISA SIMPLES TAMANHO G</c:v>
                </c:pt>
                <c:pt idx="4">
                  <c:v>CALÇA TAMANHO P</c:v>
                </c:pt>
                <c:pt idx="5">
                  <c:v>CALÇA TAMANHO M</c:v>
                </c:pt>
                <c:pt idx="6">
                  <c:v>CAMISETA SIMPLES TAMANHO M</c:v>
                </c:pt>
                <c:pt idx="7">
                  <c:v>BERMUDA TAMANHO P</c:v>
                </c:pt>
                <c:pt idx="8">
                  <c:v>CAMISETA SIMPLES TAMANHO P</c:v>
                </c:pt>
              </c:strCache>
            </c:strRef>
          </c:cat>
          <c:val>
            <c:numRef>
              <c:f>Planilha2!$F$2:$F$10</c:f>
              <c:numCache>
                <c:formatCode>"R$"\ #,##0.00</c:formatCode>
                <c:ptCount val="9"/>
                <c:pt idx="0">
                  <c:v>816</c:v>
                </c:pt>
                <c:pt idx="1">
                  <c:v>528</c:v>
                </c:pt>
                <c:pt idx="2">
                  <c:v>512</c:v>
                </c:pt>
                <c:pt idx="3">
                  <c:v>268.79999999999995</c:v>
                </c:pt>
                <c:pt idx="4">
                  <c:v>232.32000000000005</c:v>
                </c:pt>
                <c:pt idx="5">
                  <c:v>211.2</c:v>
                </c:pt>
                <c:pt idx="6">
                  <c:v>197.11999999999998</c:v>
                </c:pt>
                <c:pt idx="7">
                  <c:v>116.16000000000003</c:v>
                </c:pt>
                <c:pt idx="8">
                  <c:v>108.39999999999998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F19-4445-8B59-6B045C7F8D9D}"/>
            </c:ext>
          </c:extLst>
        </c:ser>
        <c:ser>
          <c:idx val="4"/>
          <c:order val="4"/>
          <c:tx>
            <c:strRef>
              <c:f>Planilha2!$G$1</c:f>
              <c:strCache>
                <c:ptCount val="1"/>
                <c:pt idx="0">
                  <c:v>ACUMULADO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Planilha2!$B$2:$B$10</c:f>
              <c:strCache>
                <c:ptCount val="9"/>
                <c:pt idx="0">
                  <c:v>CALÇA TAMANHO G</c:v>
                </c:pt>
                <c:pt idx="1">
                  <c:v>BERMUDA TAMANHO M</c:v>
                </c:pt>
                <c:pt idx="2">
                  <c:v>BERMUDA TAMANHO G</c:v>
                </c:pt>
                <c:pt idx="3">
                  <c:v>CAMISA SIMPLES TAMANHO G</c:v>
                </c:pt>
                <c:pt idx="4">
                  <c:v>CALÇA TAMANHO P</c:v>
                </c:pt>
                <c:pt idx="5">
                  <c:v>CALÇA TAMANHO M</c:v>
                </c:pt>
                <c:pt idx="6">
                  <c:v>CAMISETA SIMPLES TAMANHO M</c:v>
                </c:pt>
                <c:pt idx="7">
                  <c:v>BERMUDA TAMANHO P</c:v>
                </c:pt>
                <c:pt idx="8">
                  <c:v>CAMISETA SIMPLES TAMANHO P</c:v>
                </c:pt>
              </c:strCache>
            </c:strRef>
          </c:cat>
          <c:val>
            <c:numRef>
              <c:f>Planilha2!$G$2:$G$10</c:f>
              <c:numCache>
                <c:formatCode>"R$"\ #,##0.00</c:formatCode>
                <c:ptCount val="9"/>
                <c:pt idx="0">
                  <c:v>816</c:v>
                </c:pt>
                <c:pt idx="1">
                  <c:v>1344</c:v>
                </c:pt>
                <c:pt idx="2">
                  <c:v>1856</c:v>
                </c:pt>
                <c:pt idx="3">
                  <c:v>2124.8000000000002</c:v>
                </c:pt>
                <c:pt idx="4">
                  <c:v>2357.1200000000003</c:v>
                </c:pt>
                <c:pt idx="5">
                  <c:v>2568.3200000000002</c:v>
                </c:pt>
                <c:pt idx="6">
                  <c:v>2765.44</c:v>
                </c:pt>
                <c:pt idx="7">
                  <c:v>2881.6</c:v>
                </c:pt>
                <c:pt idx="8">
                  <c:v>2990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19-4445-8B59-6B045C7F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8083464"/>
        <c:axId val="416032264"/>
      </c:barChart>
      <c:catAx>
        <c:axId val="288083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032264"/>
        <c:crosses val="autoZero"/>
        <c:auto val="1"/>
        <c:lblAlgn val="ctr"/>
        <c:lblOffset val="100"/>
        <c:noMultiLvlLbl val="0"/>
      </c:catAx>
      <c:valAx>
        <c:axId val="41603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08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Planilha2!$H$1</c:f>
              <c:strCache>
                <c:ptCount val="1"/>
                <c:pt idx="0">
                  <c:v>PORCENT%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Planilha2!$H$2:$H$10</c:f>
              <c:numCache>
                <c:formatCode>0.00%</c:formatCode>
                <c:ptCount val="9"/>
                <c:pt idx="0">
                  <c:v>0.27290969899665551</c:v>
                </c:pt>
                <c:pt idx="1">
                  <c:v>0.1765886287625418</c:v>
                </c:pt>
                <c:pt idx="2">
                  <c:v>0.17123745819397992</c:v>
                </c:pt>
                <c:pt idx="3">
                  <c:v>8.9899665551839453E-2</c:v>
                </c:pt>
                <c:pt idx="4">
                  <c:v>7.769899665551841E-2</c:v>
                </c:pt>
                <c:pt idx="5">
                  <c:v>7.0635451505016725E-2</c:v>
                </c:pt>
                <c:pt idx="6">
                  <c:v>6.5926421404682273E-2</c:v>
                </c:pt>
                <c:pt idx="7">
                  <c:v>3.8849498327759205E-2</c:v>
                </c:pt>
                <c:pt idx="8">
                  <c:v>3.6254180602006685E-2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5-46B1-AC90-61FD53AF1BCE}"/>
            </c:ext>
          </c:extLst>
        </c:ser>
        <c:ser>
          <c:idx val="1"/>
          <c:order val="1"/>
          <c:tx>
            <c:strRef>
              <c:f>Planilha2!$I$1</c:f>
              <c:strCache>
                <c:ptCount val="1"/>
                <c:pt idx="0">
                  <c:v>%ACUMULADO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Planilha2!$I$2:$I$10</c:f>
              <c:numCache>
                <c:formatCode>0.00%</c:formatCode>
                <c:ptCount val="9"/>
                <c:pt idx="0">
                  <c:v>0.27290969899665551</c:v>
                </c:pt>
                <c:pt idx="1">
                  <c:v>0.44949832775919729</c:v>
                </c:pt>
                <c:pt idx="2">
                  <c:v>0.62073578595317724</c:v>
                </c:pt>
                <c:pt idx="3">
                  <c:v>0.71063545150501672</c:v>
                </c:pt>
                <c:pt idx="4">
                  <c:v>0.78833444816053511</c:v>
                </c:pt>
                <c:pt idx="5">
                  <c:v>0.85896989966555182</c:v>
                </c:pt>
                <c:pt idx="6">
                  <c:v>0.92489632107023412</c:v>
                </c:pt>
                <c:pt idx="7">
                  <c:v>0.96374581939799331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75-46B1-AC90-61FD53AF1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976839"/>
        <c:axId val="17010184"/>
      </c:barChart>
      <c:catAx>
        <c:axId val="2113976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184"/>
        <c:crosses val="autoZero"/>
        <c:auto val="1"/>
        <c:lblAlgn val="ctr"/>
        <c:lblOffset val="100"/>
        <c:noMultiLvlLbl val="0"/>
      </c:catAx>
      <c:valAx>
        <c:axId val="1701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976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561975</xdr:colOff>
      <xdr:row>10</xdr:row>
      <xdr:rowOff>0</xdr:rowOff>
    </xdr:from>
    <xdr:to>
      <xdr:col>3</xdr:col>
      <xdr:colOff>1504950</xdr:colOff>
      <xdr:row>24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AA529C5-10AA-6F76-0482-BD1708FBC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1504950</xdr:colOff>
      <xdr:row>10</xdr:row>
      <xdr:rowOff>0</xdr:rowOff>
    </xdr:from>
    <xdr:to>
      <xdr:col>6</xdr:col>
      <xdr:colOff>685800</xdr:colOff>
      <xdr:row>24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F5665B-0C10-5126-BFDD-8C63E30CA204}"/>
            </a:ext>
            <a:ext uri="{147F2762-F138-4A5C-976F-8EAC2B608ADB}">
              <a16:predDERef xmlns:a16="http://schemas.microsoft.com/office/drawing/2014/main" pred="{EAA529C5-10AA-6F76-0482-BD1708FBC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1"/>
  <sheetViews>
    <sheetView topLeftCell="B1" workbookViewId="0">
      <selection activeCell="F15" sqref="F15"/>
    </sheetView>
  </sheetViews>
  <sheetFormatPr defaultRowHeight="15"/>
  <cols>
    <col min="2" max="2" width="29" customWidth="1"/>
    <col min="3" max="3" width="24.42578125" customWidth="1"/>
    <col min="4" max="4" width="25.7109375" customWidth="1"/>
    <col min="5" max="5" width="28.7109375" customWidth="1"/>
    <col min="6" max="6" width="24.5703125" customWidth="1"/>
    <col min="7" max="7" width="18.140625" customWidth="1"/>
    <col min="8" max="8" width="15.85546875" customWidth="1"/>
    <col min="9" max="9" width="17.5703125" customWidth="1"/>
  </cols>
  <sheetData>
    <row r="1" spans="2:9" ht="18.75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1" t="s">
        <v>5</v>
      </c>
      <c r="H1" s="17" t="s">
        <v>6</v>
      </c>
      <c r="I1" s="1" t="s">
        <v>7</v>
      </c>
    </row>
    <row r="2" spans="2:9" ht="18.75">
      <c r="B2" s="3" t="s">
        <v>8</v>
      </c>
      <c r="C2" s="15">
        <v>60</v>
      </c>
      <c r="D2" s="7">
        <v>108</v>
      </c>
      <c r="E2" s="14">
        <v>17</v>
      </c>
      <c r="F2" s="9">
        <f>(E2*D2)-(E2*C2)</f>
        <v>816</v>
      </c>
      <c r="G2" s="9">
        <f>F2</f>
        <v>816</v>
      </c>
      <c r="H2" s="18">
        <f>F2/G10</f>
        <v>0.27290969899665551</v>
      </c>
      <c r="I2" s="16">
        <f>H2</f>
        <v>0.27290969899665551</v>
      </c>
    </row>
    <row r="3" spans="2:9" ht="18.75">
      <c r="B3" s="3" t="s">
        <v>9</v>
      </c>
      <c r="C3" s="15">
        <v>44</v>
      </c>
      <c r="D3" s="7">
        <v>79.2</v>
      </c>
      <c r="E3" s="14">
        <v>15</v>
      </c>
      <c r="F3" s="9">
        <f t="shared" ref="F3:F10" si="0">(E3*D3)-(E3*C3)</f>
        <v>528</v>
      </c>
      <c r="G3" s="9">
        <f>F2+F3</f>
        <v>1344</v>
      </c>
      <c r="H3" s="18">
        <f>F3/$G$10</f>
        <v>0.1765886287625418</v>
      </c>
      <c r="I3" s="16">
        <f>H2+H3</f>
        <v>0.44949832775919729</v>
      </c>
    </row>
    <row r="4" spans="2:9" ht="18.75">
      <c r="B4" s="3" t="s">
        <v>10</v>
      </c>
      <c r="C4" s="15">
        <v>40</v>
      </c>
      <c r="D4" s="7">
        <v>72</v>
      </c>
      <c r="E4" s="14">
        <v>16</v>
      </c>
      <c r="F4" s="9">
        <f>(E4*D4)-(E4*C4)</f>
        <v>512</v>
      </c>
      <c r="G4" s="9">
        <f>G3+F4</f>
        <v>1856</v>
      </c>
      <c r="H4" s="18">
        <f t="shared" ref="H4:H10" si="1">F4/$G$10</f>
        <v>0.17123745819397992</v>
      </c>
      <c r="I4" s="16">
        <f>I3+H4</f>
        <v>0.62073578595317724</v>
      </c>
    </row>
    <row r="5" spans="2:9" ht="18.75">
      <c r="B5" s="3" t="s">
        <v>11</v>
      </c>
      <c r="C5" s="15">
        <v>28</v>
      </c>
      <c r="D5" s="7">
        <v>50.4</v>
      </c>
      <c r="E5" s="14">
        <v>12</v>
      </c>
      <c r="F5" s="9">
        <f t="shared" si="0"/>
        <v>268.79999999999995</v>
      </c>
      <c r="G5" s="9">
        <f>G4+F5</f>
        <v>2124.8000000000002</v>
      </c>
      <c r="H5" s="18">
        <f t="shared" si="1"/>
        <v>8.9899665551839453E-2</v>
      </c>
      <c r="I5" s="16">
        <f t="shared" ref="I5:I10" si="2">I4+H5</f>
        <v>0.71063545150501672</v>
      </c>
    </row>
    <row r="6" spans="2:9" ht="18.75">
      <c r="B6" s="3" t="s">
        <v>12</v>
      </c>
      <c r="C6" s="15">
        <v>72.599999999999994</v>
      </c>
      <c r="D6" s="7">
        <v>130.68</v>
      </c>
      <c r="E6" s="14">
        <v>4</v>
      </c>
      <c r="F6" s="9">
        <f>(E6*D6)-(E6*C6)</f>
        <v>232.32000000000005</v>
      </c>
      <c r="G6" s="9">
        <f>G5+F6</f>
        <v>2357.1200000000003</v>
      </c>
      <c r="H6" s="18">
        <f t="shared" si="1"/>
        <v>7.769899665551841E-2</v>
      </c>
      <c r="I6" s="16">
        <f t="shared" si="2"/>
        <v>0.78833444816053511</v>
      </c>
    </row>
    <row r="7" spans="2:9" ht="18.75">
      <c r="B7" s="4" t="s">
        <v>13</v>
      </c>
      <c r="C7" s="15">
        <v>66</v>
      </c>
      <c r="D7" s="7">
        <v>118.8</v>
      </c>
      <c r="E7" s="14">
        <v>4</v>
      </c>
      <c r="F7" s="9">
        <f t="shared" si="0"/>
        <v>211.2</v>
      </c>
      <c r="G7" s="9">
        <f>G6+F7</f>
        <v>2568.3200000000002</v>
      </c>
      <c r="H7" s="18">
        <f t="shared" si="1"/>
        <v>7.0635451505016725E-2</v>
      </c>
      <c r="I7" s="16">
        <f t="shared" si="2"/>
        <v>0.85896989966555182</v>
      </c>
    </row>
    <row r="8" spans="2:9" ht="18.75">
      <c r="B8" s="3" t="s">
        <v>14</v>
      </c>
      <c r="C8" s="15">
        <v>30.8</v>
      </c>
      <c r="D8" s="7">
        <v>55.44</v>
      </c>
      <c r="E8" s="14">
        <v>8</v>
      </c>
      <c r="F8" s="9">
        <f t="shared" si="0"/>
        <v>197.11999999999998</v>
      </c>
      <c r="G8" s="9">
        <f>G7+F8</f>
        <v>2765.44</v>
      </c>
      <c r="H8" s="18">
        <f t="shared" si="1"/>
        <v>6.5926421404682273E-2</v>
      </c>
      <c r="I8" s="16">
        <f t="shared" si="2"/>
        <v>0.92489632107023412</v>
      </c>
    </row>
    <row r="9" spans="2:9" ht="18.75">
      <c r="B9" s="5" t="s">
        <v>15</v>
      </c>
      <c r="C9" s="15">
        <v>48.4</v>
      </c>
      <c r="D9" s="7">
        <v>87.12</v>
      </c>
      <c r="E9" s="14">
        <v>3</v>
      </c>
      <c r="F9" s="9">
        <f t="shared" si="0"/>
        <v>116.16000000000003</v>
      </c>
      <c r="G9" s="9">
        <f>G8+F9</f>
        <v>2881.6</v>
      </c>
      <c r="H9" s="19">
        <f t="shared" si="1"/>
        <v>3.8849498327759205E-2</v>
      </c>
      <c r="I9" s="16">
        <f t="shared" si="2"/>
        <v>0.96374581939799331</v>
      </c>
    </row>
    <row r="10" spans="2:9" ht="18.75">
      <c r="B10" s="3" t="s">
        <v>16</v>
      </c>
      <c r="C10" s="15">
        <v>33.880000000000003</v>
      </c>
      <c r="D10" s="7">
        <v>60.98</v>
      </c>
      <c r="E10" s="14">
        <v>4</v>
      </c>
      <c r="F10" s="9">
        <f t="shared" si="0"/>
        <v>108.39999999999998</v>
      </c>
      <c r="G10" s="9">
        <f>G9+F10</f>
        <v>2990</v>
      </c>
      <c r="H10" s="13">
        <f t="shared" si="1"/>
        <v>3.6254180602006685E-2</v>
      </c>
      <c r="I10" s="20">
        <f t="shared" si="2"/>
        <v>1</v>
      </c>
    </row>
    <row r="11" spans="2:9" ht="18.75">
      <c r="H11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2DC4-4906-4032-AD0D-D2722E1CAED4}">
  <dimension ref="B1:I10"/>
  <sheetViews>
    <sheetView topLeftCell="E1" workbookViewId="0">
      <selection activeCell="H2" sqref="H2"/>
    </sheetView>
  </sheetViews>
  <sheetFormatPr defaultRowHeight="15"/>
  <cols>
    <col min="2" max="2" width="32.28515625" customWidth="1"/>
    <col min="3" max="3" width="23.42578125" customWidth="1"/>
    <col min="4" max="4" width="23.85546875" customWidth="1"/>
    <col min="5" max="5" width="30.140625" customWidth="1"/>
    <col min="6" max="6" width="26.85546875" customWidth="1"/>
    <col min="7" max="7" width="22.42578125" customWidth="1"/>
    <col min="8" max="8" width="20.140625" customWidth="1"/>
    <col min="9" max="9" width="22.140625" customWidth="1"/>
  </cols>
  <sheetData>
    <row r="1" spans="2:9" ht="18.75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7" t="s">
        <v>6</v>
      </c>
      <c r="I1" s="1" t="s">
        <v>7</v>
      </c>
    </row>
    <row r="2" spans="2:9" ht="18.75">
      <c r="B2" s="3" t="s">
        <v>8</v>
      </c>
      <c r="C2" s="6">
        <v>60</v>
      </c>
      <c r="D2" s="7">
        <v>108</v>
      </c>
      <c r="E2" s="8">
        <v>17</v>
      </c>
      <c r="F2" s="9">
        <f>(E2*D2)-(E2*C2)</f>
        <v>816</v>
      </c>
      <c r="G2" s="10">
        <f>F2</f>
        <v>816</v>
      </c>
      <c r="H2" s="18">
        <f>F2/G10</f>
        <v>0.27290969899665551</v>
      </c>
      <c r="I2" s="16">
        <f>H2</f>
        <v>0.27290969899665551</v>
      </c>
    </row>
    <row r="3" spans="2:9" ht="18.75">
      <c r="B3" s="3" t="s">
        <v>9</v>
      </c>
      <c r="C3" s="6">
        <v>44</v>
      </c>
      <c r="D3" s="7">
        <v>79.2</v>
      </c>
      <c r="E3" s="8">
        <v>15</v>
      </c>
      <c r="F3" s="9">
        <f t="shared" ref="F3:F10" si="0">(E3*D3)-(E3*C3)</f>
        <v>528</v>
      </c>
      <c r="G3" s="10">
        <f>F2+F3</f>
        <v>1344</v>
      </c>
      <c r="H3" s="18">
        <f>F3/$G$10</f>
        <v>0.1765886287625418</v>
      </c>
      <c r="I3" s="16">
        <f>H2+H3</f>
        <v>0.44949832775919729</v>
      </c>
    </row>
    <row r="4" spans="2:9" ht="18.75">
      <c r="B4" s="3" t="s">
        <v>10</v>
      </c>
      <c r="C4" s="6">
        <v>40</v>
      </c>
      <c r="D4" s="7">
        <v>72</v>
      </c>
      <c r="E4" s="8">
        <v>16</v>
      </c>
      <c r="F4" s="9">
        <f>(E4*D4)-(E4*C4)</f>
        <v>512</v>
      </c>
      <c r="G4" s="10">
        <f>G3+F4</f>
        <v>1856</v>
      </c>
      <c r="H4" s="18">
        <f t="shared" ref="H4:H10" si="1">F4/$G$10</f>
        <v>0.17123745819397992</v>
      </c>
      <c r="I4" s="16">
        <f>I3+H4</f>
        <v>0.62073578595317724</v>
      </c>
    </row>
    <row r="5" spans="2:9" ht="18.75">
      <c r="B5" s="3" t="s">
        <v>11</v>
      </c>
      <c r="C5" s="6">
        <v>28</v>
      </c>
      <c r="D5" s="7">
        <v>50.4</v>
      </c>
      <c r="E5" s="8">
        <v>12</v>
      </c>
      <c r="F5" s="9">
        <f t="shared" si="0"/>
        <v>268.79999999999995</v>
      </c>
      <c r="G5" s="10">
        <f>G4+F5</f>
        <v>2124.8000000000002</v>
      </c>
      <c r="H5" s="18">
        <f t="shared" si="1"/>
        <v>8.9899665551839453E-2</v>
      </c>
      <c r="I5" s="16">
        <f t="shared" ref="I5:I10" si="2">I4+H5</f>
        <v>0.71063545150501672</v>
      </c>
    </row>
    <row r="6" spans="2:9" ht="18.75">
      <c r="B6" s="3" t="s">
        <v>12</v>
      </c>
      <c r="C6" s="6">
        <v>72.599999999999994</v>
      </c>
      <c r="D6" s="7">
        <v>130.68</v>
      </c>
      <c r="E6" s="8">
        <v>4</v>
      </c>
      <c r="F6" s="9">
        <f>(E6*D6)-(E6*C6)</f>
        <v>232.32000000000005</v>
      </c>
      <c r="G6" s="10">
        <f>G5+F6</f>
        <v>2357.1200000000003</v>
      </c>
      <c r="H6" s="18">
        <f t="shared" si="1"/>
        <v>7.769899665551841E-2</v>
      </c>
      <c r="I6" s="16">
        <f t="shared" si="2"/>
        <v>0.78833444816053511</v>
      </c>
    </row>
    <row r="7" spans="2:9" ht="18.75">
      <c r="B7" s="4" t="s">
        <v>13</v>
      </c>
      <c r="C7" s="6">
        <v>66</v>
      </c>
      <c r="D7" s="7">
        <v>118.8</v>
      </c>
      <c r="E7" s="8">
        <v>4</v>
      </c>
      <c r="F7" s="9">
        <f t="shared" si="0"/>
        <v>211.2</v>
      </c>
      <c r="G7" s="10">
        <f>G6+F7</f>
        <v>2568.3200000000002</v>
      </c>
      <c r="H7" s="18">
        <f t="shared" si="1"/>
        <v>7.0635451505016725E-2</v>
      </c>
      <c r="I7" s="16">
        <f t="shared" si="2"/>
        <v>0.85896989966555182</v>
      </c>
    </row>
    <row r="8" spans="2:9" ht="18.75">
      <c r="B8" s="3" t="s">
        <v>14</v>
      </c>
      <c r="C8" s="6">
        <v>30.8</v>
      </c>
      <c r="D8" s="7">
        <v>55.44</v>
      </c>
      <c r="E8" s="8">
        <v>8</v>
      </c>
      <c r="F8" s="9">
        <f t="shared" si="0"/>
        <v>197.11999999999998</v>
      </c>
      <c r="G8" s="10">
        <f>G7+F8</f>
        <v>2765.44</v>
      </c>
      <c r="H8" s="18">
        <f t="shared" si="1"/>
        <v>6.5926421404682273E-2</v>
      </c>
      <c r="I8" s="16">
        <f t="shared" si="2"/>
        <v>0.92489632107023412</v>
      </c>
    </row>
    <row r="9" spans="2:9" ht="18.75">
      <c r="B9" s="5" t="s">
        <v>15</v>
      </c>
      <c r="C9" s="6">
        <v>48.4</v>
      </c>
      <c r="D9" s="7">
        <v>87.12</v>
      </c>
      <c r="E9" s="8">
        <v>3</v>
      </c>
      <c r="F9" s="9">
        <f t="shared" si="0"/>
        <v>116.16000000000003</v>
      </c>
      <c r="G9" s="10">
        <f>G8+F9</f>
        <v>2881.6</v>
      </c>
      <c r="H9" s="19">
        <f t="shared" si="1"/>
        <v>3.8849498327759205E-2</v>
      </c>
      <c r="I9" s="16">
        <f t="shared" si="2"/>
        <v>0.96374581939799331</v>
      </c>
    </row>
    <row r="10" spans="2:9" ht="18.75">
      <c r="B10" s="3" t="s">
        <v>16</v>
      </c>
      <c r="C10" s="6">
        <v>33.880000000000003</v>
      </c>
      <c r="D10" s="7">
        <v>60.98</v>
      </c>
      <c r="E10" s="8">
        <v>4</v>
      </c>
      <c r="F10" s="9">
        <f t="shared" si="0"/>
        <v>108.39999999999998</v>
      </c>
      <c r="G10" s="12">
        <f>G9+F10</f>
        <v>2990</v>
      </c>
      <c r="H10" s="13">
        <f t="shared" si="1"/>
        <v>3.6254180602006685E-2</v>
      </c>
      <c r="I10" s="20">
        <f t="shared" si="2"/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CE068-D77B-47BE-A281-61E0F8144A95}">
  <dimension ref="B1:J10"/>
  <sheetViews>
    <sheetView topLeftCell="E1" workbookViewId="0">
      <selection activeCell="H2" sqref="H2:I10"/>
    </sheetView>
  </sheetViews>
  <sheetFormatPr defaultRowHeight="15"/>
  <cols>
    <col min="2" max="2" width="37.28515625" customWidth="1"/>
    <col min="3" max="3" width="22.140625" customWidth="1"/>
    <col min="4" max="4" width="21.42578125" customWidth="1"/>
    <col min="5" max="5" width="29.7109375" customWidth="1"/>
    <col min="6" max="6" width="27.28515625" customWidth="1"/>
    <col min="7" max="7" width="21.7109375" customWidth="1"/>
    <col min="8" max="8" width="26.42578125" customWidth="1"/>
    <col min="9" max="9" width="21.42578125" customWidth="1"/>
    <col min="10" max="10" width="19" customWidth="1"/>
  </cols>
  <sheetData>
    <row r="1" spans="2:10" ht="18.75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7" t="s">
        <v>6</v>
      </c>
      <c r="I1" s="11" t="s">
        <v>7</v>
      </c>
      <c r="J1" s="24" t="s">
        <v>17</v>
      </c>
    </row>
    <row r="2" spans="2:10" ht="21">
      <c r="B2" s="3" t="s">
        <v>8</v>
      </c>
      <c r="C2" s="6">
        <v>60</v>
      </c>
      <c r="D2" s="7">
        <v>108</v>
      </c>
      <c r="E2" s="8">
        <v>17</v>
      </c>
      <c r="F2" s="9">
        <f>(E2*D2)-(E2*C2)</f>
        <v>816</v>
      </c>
      <c r="G2" s="10">
        <f>F2</f>
        <v>816</v>
      </c>
      <c r="H2" s="18">
        <f>F2/G10</f>
        <v>0.27290969899665551</v>
      </c>
      <c r="I2" s="22">
        <f>H2</f>
        <v>0.27290969899665551</v>
      </c>
      <c r="J2" s="25" t="s">
        <v>18</v>
      </c>
    </row>
    <row r="3" spans="2:10" ht="21">
      <c r="B3" s="3" t="s">
        <v>9</v>
      </c>
      <c r="C3" s="6">
        <v>44</v>
      </c>
      <c r="D3" s="7">
        <v>79.2</v>
      </c>
      <c r="E3" s="8">
        <v>15</v>
      </c>
      <c r="F3" s="9">
        <f t="shared" ref="F3:F10" si="0">(E3*D3)-(E3*C3)</f>
        <v>528</v>
      </c>
      <c r="G3" s="10">
        <f>F2+F3</f>
        <v>1344</v>
      </c>
      <c r="H3" s="18">
        <f>F3/$G$10</f>
        <v>0.1765886287625418</v>
      </c>
      <c r="I3" s="22">
        <f>H2+H3</f>
        <v>0.44949832775919729</v>
      </c>
      <c r="J3" s="25" t="s">
        <v>18</v>
      </c>
    </row>
    <row r="4" spans="2:10" ht="21">
      <c r="B4" s="3" t="s">
        <v>10</v>
      </c>
      <c r="C4" s="6">
        <v>40</v>
      </c>
      <c r="D4" s="7">
        <v>72</v>
      </c>
      <c r="E4" s="8">
        <v>16</v>
      </c>
      <c r="F4" s="9">
        <f>(E4*D4)-(E4*C4)</f>
        <v>512</v>
      </c>
      <c r="G4" s="10">
        <f>G3+F4</f>
        <v>1856</v>
      </c>
      <c r="H4" s="18">
        <f t="shared" ref="H4:H10" si="1">F4/$G$10</f>
        <v>0.17123745819397992</v>
      </c>
      <c r="I4" s="22">
        <f>I3+H4</f>
        <v>0.62073578595317724</v>
      </c>
      <c r="J4" s="25" t="s">
        <v>18</v>
      </c>
    </row>
    <row r="5" spans="2:10" ht="21">
      <c r="B5" s="3" t="s">
        <v>11</v>
      </c>
      <c r="C5" s="6">
        <v>28</v>
      </c>
      <c r="D5" s="7">
        <v>50.4</v>
      </c>
      <c r="E5" s="8">
        <v>12</v>
      </c>
      <c r="F5" s="9">
        <f t="shared" si="0"/>
        <v>268.79999999999995</v>
      </c>
      <c r="G5" s="10">
        <f>G4+F5</f>
        <v>2124.8000000000002</v>
      </c>
      <c r="H5" s="18">
        <f t="shared" si="1"/>
        <v>8.9899665551839453E-2</v>
      </c>
      <c r="I5" s="22">
        <f t="shared" ref="I5:I10" si="2">I4+H5</f>
        <v>0.71063545150501672</v>
      </c>
      <c r="J5" s="25" t="s">
        <v>18</v>
      </c>
    </row>
    <row r="6" spans="2:10" ht="21">
      <c r="B6" s="3" t="s">
        <v>12</v>
      </c>
      <c r="C6" s="6">
        <v>72.599999999999994</v>
      </c>
      <c r="D6" s="7">
        <v>130.68</v>
      </c>
      <c r="E6" s="8">
        <v>4</v>
      </c>
      <c r="F6" s="9">
        <f>(E6*D6)-(E6*C6)</f>
        <v>232.32000000000005</v>
      </c>
      <c r="G6" s="10">
        <f>G5+F6</f>
        <v>2357.1200000000003</v>
      </c>
      <c r="H6" s="18">
        <f t="shared" si="1"/>
        <v>7.769899665551841E-2</v>
      </c>
      <c r="I6" s="22">
        <f t="shared" si="2"/>
        <v>0.78833444816053511</v>
      </c>
      <c r="J6" s="25" t="s">
        <v>18</v>
      </c>
    </row>
    <row r="7" spans="2:10" ht="21">
      <c r="B7" s="4" t="s">
        <v>13</v>
      </c>
      <c r="C7" s="6">
        <v>66</v>
      </c>
      <c r="D7" s="7">
        <v>118.8</v>
      </c>
      <c r="E7" s="8">
        <v>4</v>
      </c>
      <c r="F7" s="9">
        <f t="shared" si="0"/>
        <v>211.2</v>
      </c>
      <c r="G7" s="10">
        <f>G6+F7</f>
        <v>2568.3200000000002</v>
      </c>
      <c r="H7" s="18">
        <f t="shared" si="1"/>
        <v>7.0635451505016725E-2</v>
      </c>
      <c r="I7" s="22">
        <f t="shared" si="2"/>
        <v>0.85896989966555182</v>
      </c>
      <c r="J7" s="26" t="s">
        <v>19</v>
      </c>
    </row>
    <row r="8" spans="2:10" ht="21">
      <c r="B8" s="3" t="s">
        <v>14</v>
      </c>
      <c r="C8" s="6">
        <v>30.8</v>
      </c>
      <c r="D8" s="7">
        <v>55.44</v>
      </c>
      <c r="E8" s="8">
        <v>8</v>
      </c>
      <c r="F8" s="9">
        <f t="shared" si="0"/>
        <v>197.11999999999998</v>
      </c>
      <c r="G8" s="10">
        <f>G7+F8</f>
        <v>2765.44</v>
      </c>
      <c r="H8" s="18">
        <f>F8/$G$10</f>
        <v>6.5926421404682273E-2</v>
      </c>
      <c r="I8" s="22">
        <f t="shared" si="2"/>
        <v>0.92489632107023412</v>
      </c>
      <c r="J8" s="26" t="s">
        <v>19</v>
      </c>
    </row>
    <row r="9" spans="2:10" ht="21">
      <c r="B9" s="5" t="s">
        <v>15</v>
      </c>
      <c r="C9" s="6">
        <v>48.4</v>
      </c>
      <c r="D9" s="7">
        <v>87.12</v>
      </c>
      <c r="E9" s="8">
        <v>3</v>
      </c>
      <c r="F9" s="9">
        <f t="shared" si="0"/>
        <v>116.16000000000003</v>
      </c>
      <c r="G9" s="10">
        <f>G8+F9</f>
        <v>2881.6</v>
      </c>
      <c r="H9" s="19">
        <f t="shared" si="1"/>
        <v>3.8849498327759205E-2</v>
      </c>
      <c r="I9" s="22">
        <f t="shared" si="2"/>
        <v>0.96374581939799331</v>
      </c>
      <c r="J9" s="27" t="s">
        <v>20</v>
      </c>
    </row>
    <row r="10" spans="2:10" ht="21">
      <c r="B10" s="3" t="s">
        <v>16</v>
      </c>
      <c r="C10" s="6">
        <v>33.880000000000003</v>
      </c>
      <c r="D10" s="7">
        <v>60.98</v>
      </c>
      <c r="E10" s="8">
        <v>4</v>
      </c>
      <c r="F10" s="9">
        <f t="shared" si="0"/>
        <v>108.39999999999998</v>
      </c>
      <c r="G10" s="12">
        <f>G9+F10</f>
        <v>2990</v>
      </c>
      <c r="H10" s="13">
        <f t="shared" si="1"/>
        <v>3.6254180602006685E-2</v>
      </c>
      <c r="I10" s="23">
        <f t="shared" si="2"/>
        <v>1</v>
      </c>
      <c r="J10" s="2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91469-1026-475E-B7EF-9938E013A781}">
  <dimension ref="B1:J11"/>
  <sheetViews>
    <sheetView tabSelected="1" workbookViewId="0">
      <selection activeCell="J9" sqref="J9"/>
    </sheetView>
  </sheetViews>
  <sheetFormatPr defaultRowHeight="15"/>
  <cols>
    <col min="2" max="2" width="18.85546875" bestFit="1" customWidth="1"/>
    <col min="3" max="3" width="20.42578125" bestFit="1" customWidth="1"/>
    <col min="4" max="4" width="16.28515625" bestFit="1" customWidth="1"/>
    <col min="5" max="5" width="20" bestFit="1" customWidth="1"/>
    <col min="6" max="6" width="12.85546875" bestFit="1" customWidth="1"/>
    <col min="7" max="7" width="12.42578125" bestFit="1" customWidth="1"/>
    <col min="8" max="8" width="12.85546875" customWidth="1"/>
    <col min="9" max="9" width="13.7109375" customWidth="1"/>
    <col min="10" max="10" width="11" bestFit="1" customWidth="1"/>
  </cols>
  <sheetData>
    <row r="1" spans="2:10">
      <c r="B1" s="33" t="s">
        <v>0</v>
      </c>
      <c r="C1" s="33" t="s">
        <v>21</v>
      </c>
      <c r="D1" s="33" t="s">
        <v>2</v>
      </c>
      <c r="E1" s="33" t="s">
        <v>22</v>
      </c>
      <c r="F1" s="36" t="s">
        <v>4</v>
      </c>
      <c r="G1" s="38" t="s">
        <v>5</v>
      </c>
      <c r="H1" s="38" t="s">
        <v>23</v>
      </c>
      <c r="I1" s="38" t="s">
        <v>24</v>
      </c>
      <c r="J1" s="33" t="s">
        <v>25</v>
      </c>
    </row>
    <row r="2" spans="2:10" ht="18.75">
      <c r="B2" s="31" t="s">
        <v>26</v>
      </c>
      <c r="C2" s="32">
        <v>3.7</v>
      </c>
      <c r="D2" s="32">
        <v>7.4</v>
      </c>
      <c r="E2" s="34">
        <v>54</v>
      </c>
      <c r="F2" s="37">
        <f>(E2*D2)-(E2*C2)</f>
        <v>199.8</v>
      </c>
      <c r="G2" s="39">
        <f>F2</f>
        <v>199.8</v>
      </c>
      <c r="H2" s="18">
        <f>F2/G10</f>
        <v>0.3481442760062729</v>
      </c>
      <c r="I2" s="22">
        <f>H2</f>
        <v>0.3481442760062729</v>
      </c>
      <c r="J2" s="40" t="s">
        <v>18</v>
      </c>
    </row>
    <row r="3" spans="2:10" ht="18.75">
      <c r="B3" s="29" t="s">
        <v>27</v>
      </c>
      <c r="C3" s="30">
        <v>4.0999999999999996</v>
      </c>
      <c r="D3" s="30">
        <v>8.1999999999999993</v>
      </c>
      <c r="E3" s="35">
        <v>6</v>
      </c>
      <c r="F3" s="37">
        <f>(E3*D3)-(E3*C3)</f>
        <v>24.599999999999998</v>
      </c>
      <c r="G3" s="39">
        <f>F2+F3</f>
        <v>224.4</v>
      </c>
      <c r="H3" s="18">
        <f>F3/$G$10</f>
        <v>4.2864610559330892E-2</v>
      </c>
      <c r="I3" s="22">
        <f>H2+H3</f>
        <v>0.39100888656560379</v>
      </c>
      <c r="J3" s="40" t="s">
        <v>18</v>
      </c>
    </row>
    <row r="4" spans="2:10" ht="18.75">
      <c r="B4" s="29" t="s">
        <v>28</v>
      </c>
      <c r="C4" s="30">
        <v>3.9</v>
      </c>
      <c r="D4" s="30">
        <v>7.8</v>
      </c>
      <c r="E4" s="35">
        <v>9</v>
      </c>
      <c r="F4" s="37">
        <f>(E4*D4)-(E4*C4)</f>
        <v>35.1</v>
      </c>
      <c r="G4" s="39">
        <f>G3+F4</f>
        <v>259.5</v>
      </c>
      <c r="H4" s="18">
        <f>F4/$G$10</f>
        <v>6.1160480920020917E-2</v>
      </c>
      <c r="I4" s="22">
        <f>I3+H4</f>
        <v>0.4521693674856247</v>
      </c>
      <c r="J4" s="40" t="s">
        <v>18</v>
      </c>
    </row>
    <row r="5" spans="2:10" ht="18.75">
      <c r="B5" s="29" t="s">
        <v>29</v>
      </c>
      <c r="C5" s="30">
        <v>4.3</v>
      </c>
      <c r="D5" s="30">
        <v>8.6</v>
      </c>
      <c r="E5" s="35">
        <v>3</v>
      </c>
      <c r="F5" s="37">
        <f>(E5*D5)-(E5*C5)</f>
        <v>12.899999999999999</v>
      </c>
      <c r="G5" s="39">
        <f>G4+F5</f>
        <v>272.39999999999998</v>
      </c>
      <c r="H5" s="18">
        <f>F5/$G$10</f>
        <v>2.2477783585990591E-2</v>
      </c>
      <c r="I5" s="22">
        <f>I4+H5</f>
        <v>0.47464715107161526</v>
      </c>
      <c r="J5" s="41" t="s">
        <v>19</v>
      </c>
    </row>
    <row r="6" spans="2:10" ht="18.75">
      <c r="B6" s="29" t="s">
        <v>30</v>
      </c>
      <c r="C6" s="30">
        <v>3.2</v>
      </c>
      <c r="D6" s="30">
        <v>6.4</v>
      </c>
      <c r="E6" s="35">
        <v>42</v>
      </c>
      <c r="F6" s="37">
        <f>(E6*D6)-(E6*C6)</f>
        <v>134.4</v>
      </c>
      <c r="G6" s="39">
        <f>G5+F6</f>
        <v>406.79999999999995</v>
      </c>
      <c r="H6" s="18">
        <f>F6/$G$10</f>
        <v>0.23418714061683221</v>
      </c>
      <c r="I6" s="22">
        <f>I5+H6</f>
        <v>0.70883429168844747</v>
      </c>
      <c r="J6" s="41" t="s">
        <v>19</v>
      </c>
    </row>
    <row r="7" spans="2:10" ht="18.75">
      <c r="B7" s="29" t="s">
        <v>31</v>
      </c>
      <c r="C7" s="30">
        <v>4.5999999999999996</v>
      </c>
      <c r="D7" s="30">
        <v>9.1999999999999993</v>
      </c>
      <c r="E7" s="35">
        <v>25</v>
      </c>
      <c r="F7" s="37">
        <f>(E7*D7)-(E7*C7)</f>
        <v>114.99999999999999</v>
      </c>
      <c r="G7" s="39">
        <f>G6+F7</f>
        <v>521.79999999999995</v>
      </c>
      <c r="H7" s="18">
        <f>F7/$G$10</f>
        <v>0.20038334204565253</v>
      </c>
      <c r="I7" s="22">
        <f>I6+H7</f>
        <v>0.90921763373410003</v>
      </c>
      <c r="J7" s="41" t="s">
        <v>19</v>
      </c>
    </row>
    <row r="8" spans="2:10" ht="18.75">
      <c r="B8" s="29" t="s">
        <v>32</v>
      </c>
      <c r="C8" s="30">
        <v>4.5999999999999996</v>
      </c>
      <c r="D8" s="30">
        <v>9.1999999999999993</v>
      </c>
      <c r="E8" s="35">
        <v>4</v>
      </c>
      <c r="F8" s="37">
        <f>(E8*D8)-(E8*C8)</f>
        <v>18.399999999999999</v>
      </c>
      <c r="G8" s="39">
        <f>G7+F8</f>
        <v>540.19999999999993</v>
      </c>
      <c r="H8" s="18">
        <f>F8/$G$10</f>
        <v>3.2061334727304408E-2</v>
      </c>
      <c r="I8" s="22">
        <f>I7+H8</f>
        <v>0.94127896846140446</v>
      </c>
      <c r="J8" s="42" t="s">
        <v>20</v>
      </c>
    </row>
    <row r="9" spans="2:10" ht="18.75">
      <c r="B9" s="29" t="s">
        <v>33</v>
      </c>
      <c r="C9" s="30">
        <v>4.9000000000000004</v>
      </c>
      <c r="D9" s="30">
        <v>9.8000000000000007</v>
      </c>
      <c r="E9" s="35">
        <v>3</v>
      </c>
      <c r="F9" s="37">
        <f>(E9*D9)-(E9*C9)</f>
        <v>14.700000000000001</v>
      </c>
      <c r="G9" s="39">
        <f>G8+F9</f>
        <v>554.9</v>
      </c>
      <c r="H9" s="19">
        <f>F9/$G$10</f>
        <v>2.5614218504966025E-2</v>
      </c>
      <c r="I9" s="22">
        <f>I8+H9</f>
        <v>0.9668931869663705</v>
      </c>
      <c r="J9" s="42" t="s">
        <v>20</v>
      </c>
    </row>
    <row r="10" spans="2:10" ht="18.75">
      <c r="B10" s="29" t="s">
        <v>34</v>
      </c>
      <c r="C10" s="30">
        <v>3.8</v>
      </c>
      <c r="D10" s="30">
        <v>7.6</v>
      </c>
      <c r="E10" s="35">
        <v>5</v>
      </c>
      <c r="F10" s="37">
        <f>(E10*D10)-(E10*C10)</f>
        <v>19</v>
      </c>
      <c r="G10" s="39">
        <f>G9+F10</f>
        <v>573.9</v>
      </c>
      <c r="H10" s="18">
        <f>F10/$G$10</f>
        <v>3.3106813033629556E-2</v>
      </c>
      <c r="I10" s="22">
        <f>I9+H10</f>
        <v>1</v>
      </c>
      <c r="J10" s="42" t="s">
        <v>20</v>
      </c>
    </row>
    <row r="11" spans="2:10">
      <c r="F11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2025-04-16T17:49:58Z</dcterms:created>
  <dcterms:modified xsi:type="dcterms:W3CDTF">2026-02-08T16:59:06Z</dcterms:modified>
  <cp:category/>
  <cp:contentStatus/>
</cp:coreProperties>
</file>